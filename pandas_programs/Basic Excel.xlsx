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notes\Data Analysis\MArgi DA\Excel work\"/>
    </mc:Choice>
  </mc:AlternateContent>
  <xr:revisionPtr revIDLastSave="0" documentId="13_ncr:1_{77542673-AEDD-47A9-AB74-BF3B4E4E33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I8" i="1" s="1"/>
  <c r="J8" i="1" s="1"/>
  <c r="D2" i="1"/>
  <c r="J2" i="1"/>
  <c r="J3" i="1"/>
  <c r="J4" i="1"/>
  <c r="J5" i="1"/>
  <c r="J6" i="1"/>
  <c r="J7" i="1"/>
  <c r="J9" i="1"/>
  <c r="J10" i="1"/>
  <c r="J11" i="1"/>
  <c r="I3" i="1"/>
  <c r="I4" i="1"/>
  <c r="I5" i="1"/>
  <c r="I6" i="1"/>
  <c r="I7" i="1"/>
  <c r="I9" i="1"/>
  <c r="I10" i="1"/>
  <c r="I11" i="1"/>
  <c r="I2" i="1"/>
  <c r="H3" i="1"/>
  <c r="H4" i="1"/>
  <c r="H5" i="1"/>
  <c r="H6" i="1"/>
  <c r="H7" i="1"/>
  <c r="H9" i="1"/>
  <c r="H10" i="1"/>
  <c r="H11" i="1"/>
  <c r="H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<sst xmlns="http://schemas.openxmlformats.org/spreadsheetml/2006/main" count="32" uniqueCount="30">
  <si>
    <t>sno</t>
  </si>
  <si>
    <t>fname</t>
  </si>
  <si>
    <t>lname</t>
  </si>
  <si>
    <t>fullname</t>
  </si>
  <si>
    <t>sub1</t>
  </si>
  <si>
    <t>sub2</t>
  </si>
  <si>
    <t>sub3</t>
  </si>
  <si>
    <t>result</t>
  </si>
  <si>
    <t>Aman</t>
  </si>
  <si>
    <t>Raman</t>
  </si>
  <si>
    <t>John</t>
  </si>
  <si>
    <t>Ron</t>
  </si>
  <si>
    <t>Maria</t>
  </si>
  <si>
    <t>Tania</t>
  </si>
  <si>
    <t>Sam</t>
  </si>
  <si>
    <t>Alexa</t>
  </si>
  <si>
    <t>Joseph</t>
  </si>
  <si>
    <t>arun</t>
  </si>
  <si>
    <t>sharma</t>
  </si>
  <si>
    <t>verma</t>
  </si>
  <si>
    <t>capner</t>
  </si>
  <si>
    <t>dsoza</t>
  </si>
  <si>
    <t>patel</t>
  </si>
  <si>
    <t>daneil</t>
  </si>
  <si>
    <t>j</t>
  </si>
  <si>
    <t>chawda</t>
  </si>
  <si>
    <t>%</t>
  </si>
  <si>
    <t>Division</t>
  </si>
  <si>
    <t>CONCAT(B2," ",C2)</t>
  </si>
  <si>
    <t>IF(AND(E8&gt;34,F8&gt;32,G8&gt;32),"Pass","Fail")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</si>
</sst>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7" activeCellId="1" sqref="E10 E7"/>
    </sheetView>
  </sheetViews>
  <sheetFormatPr defaultColWidth="18.42578125" defaultRowHeight="21" x14ac:dyDescent="0.25"/>
  <cols>
    <col min="1" max="16384" width="18.425781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27</v>
      </c>
    </row>
    <row r="2" spans="1:10" x14ac:dyDescent="0.25">
      <c r="A2" s="1">
        <v>1</v>
      </c>
      <c r="B2" s="1" t="s">
        <v>8</v>
      </c>
      <c r="C2" s="1" t="s">
        <v>18</v>
      </c>
      <c r="D2" s="1" t="str">
        <f>_xlfn.CONCAT(B2," ",C2)</f>
        <v>Aman sharma</v>
      </c>
      <c r="E2" s="1">
        <v>35</v>
      </c>
      <c r="F2" s="1">
        <v>45</v>
      </c>
      <c r="G2" s="1">
        <v>37</v>
      </c>
      <c r="H2" s="1" t="str">
        <f>IF(AND(E2&gt;34,F2&gt;32,G2&gt;32),"Pass","Fail")</f>
        <v>Pass</v>
      </c>
      <c r="I2" s="2">
        <f>IF(H2="Pass", AVERAGE(E2:G2)/100,H2)</f>
        <v>0.39</v>
      </c>
      <c r="J2" s="1" t="str">
        <f>IF(I2="Fail",I2,IF(I2&gt;65%,"Ist division",IF(I2&gt;44%,"IInd Division","IIIrdDivision")))</f>
        <v>IIIrdDivision</v>
      </c>
    </row>
    <row r="3" spans="1:10" x14ac:dyDescent="0.25">
      <c r="A3" s="1">
        <v>2</v>
      </c>
      <c r="B3" s="1" t="s">
        <v>9</v>
      </c>
      <c r="C3" s="1" t="s">
        <v>19</v>
      </c>
      <c r="D3" s="1" t="str">
        <f t="shared" ref="D3:D11" si="0">_xlfn.CONCAT(B3," ",C3)</f>
        <v>Raman verma</v>
      </c>
      <c r="E3" s="1">
        <v>85</v>
      </c>
      <c r="F3" s="1">
        <v>88</v>
      </c>
      <c r="G3" s="1">
        <v>78</v>
      </c>
      <c r="H3" s="1" t="str">
        <f t="shared" ref="H3:H11" si="1">IF(AND(E3&gt;34,F3&gt;32,G3&gt;32),"Pass","Fail")</f>
        <v>Pass</v>
      </c>
      <c r="I3" s="2">
        <f t="shared" ref="I3:I11" si="2">IF(H3="Pass", AVERAGE(E3:G3)/100,H3)</f>
        <v>0.83666666666666667</v>
      </c>
      <c r="J3" s="1" t="str">
        <f t="shared" ref="J3:J11" si="3">IF(I3="Fail",I3,IF(I3&gt;65%,"Ist division",IF(I3&gt;44%,"IInd Division","IIIrdDivision")))</f>
        <v>Ist division</v>
      </c>
    </row>
    <row r="4" spans="1:10" x14ac:dyDescent="0.25">
      <c r="A4" s="1">
        <v>3</v>
      </c>
      <c r="B4" s="1" t="s">
        <v>10</v>
      </c>
      <c r="C4" s="1" t="s">
        <v>20</v>
      </c>
      <c r="D4" s="1" t="str">
        <f t="shared" si="0"/>
        <v>John capner</v>
      </c>
      <c r="E4" s="1">
        <v>25</v>
      </c>
      <c r="F4" s="1">
        <v>36</v>
      </c>
      <c r="G4" s="1">
        <v>41</v>
      </c>
      <c r="H4" s="1" t="str">
        <f t="shared" si="1"/>
        <v>Fail</v>
      </c>
      <c r="I4" s="2" t="str">
        <f t="shared" si="2"/>
        <v>Fail</v>
      </c>
      <c r="J4" s="1" t="str">
        <f t="shared" si="3"/>
        <v>Fail</v>
      </c>
    </row>
    <row r="5" spans="1:10" x14ac:dyDescent="0.25">
      <c r="A5" s="1">
        <v>4</v>
      </c>
      <c r="B5" s="1" t="s">
        <v>11</v>
      </c>
      <c r="C5" s="1" t="s">
        <v>20</v>
      </c>
      <c r="D5" s="1" t="str">
        <f t="shared" si="0"/>
        <v>Ron capner</v>
      </c>
      <c r="E5" s="1">
        <v>58</v>
      </c>
      <c r="F5" s="1">
        <v>65</v>
      </c>
      <c r="G5" s="1">
        <v>45</v>
      </c>
      <c r="H5" s="1" t="str">
        <f t="shared" si="1"/>
        <v>Pass</v>
      </c>
      <c r="I5" s="2">
        <f t="shared" si="2"/>
        <v>0.56000000000000005</v>
      </c>
      <c r="J5" s="1" t="str">
        <f t="shared" si="3"/>
        <v>IInd Division</v>
      </c>
    </row>
    <row r="6" spans="1:10" x14ac:dyDescent="0.25">
      <c r="A6" s="1">
        <v>5</v>
      </c>
      <c r="B6" s="1" t="s">
        <v>12</v>
      </c>
      <c r="C6" s="1" t="s">
        <v>21</v>
      </c>
      <c r="D6" s="1" t="str">
        <f t="shared" si="0"/>
        <v>Maria dsoza</v>
      </c>
      <c r="E6" s="1">
        <v>74</v>
      </c>
      <c r="F6" s="1">
        <v>58</v>
      </c>
      <c r="G6" s="1">
        <v>65</v>
      </c>
      <c r="H6" s="1" t="str">
        <f t="shared" si="1"/>
        <v>Pass</v>
      </c>
      <c r="I6" s="2">
        <f t="shared" si="2"/>
        <v>0.65666666666666673</v>
      </c>
      <c r="J6" s="1" t="str">
        <f t="shared" si="3"/>
        <v>Ist division</v>
      </c>
    </row>
    <row r="7" spans="1:10" x14ac:dyDescent="0.25">
      <c r="A7" s="1">
        <v>6</v>
      </c>
      <c r="B7" s="1" t="s">
        <v>13</v>
      </c>
      <c r="C7" s="1" t="s">
        <v>22</v>
      </c>
      <c r="D7" s="1" t="str">
        <f t="shared" si="0"/>
        <v>Tania patel</v>
      </c>
      <c r="E7" s="1">
        <v>25</v>
      </c>
      <c r="F7" s="1">
        <v>12</v>
      </c>
      <c r="G7" s="1">
        <v>32</v>
      </c>
      <c r="H7" s="1" t="str">
        <f t="shared" si="1"/>
        <v>Fail</v>
      </c>
      <c r="I7" s="2" t="str">
        <f t="shared" si="2"/>
        <v>Fail</v>
      </c>
      <c r="J7" s="1" t="str">
        <f t="shared" si="3"/>
        <v>Fail</v>
      </c>
    </row>
    <row r="8" spans="1:10" x14ac:dyDescent="0.25">
      <c r="A8" s="1">
        <v>7</v>
      </c>
      <c r="B8" s="1" t="s">
        <v>14</v>
      </c>
      <c r="C8" s="1" t="s">
        <v>23</v>
      </c>
      <c r="D8" s="1" t="str">
        <f t="shared" si="0"/>
        <v>Sam daneil</v>
      </c>
      <c r="E8" s="1">
        <v>78</v>
      </c>
      <c r="F8" s="1">
        <v>98</v>
      </c>
      <c r="G8" s="1">
        <v>96</v>
      </c>
      <c r="H8" s="1" t="str">
        <f>IF(AND(E8&gt;34,F8&gt;32,G8&gt;32),"Pass","Fail")</f>
        <v>Pass</v>
      </c>
      <c r="I8" s="2">
        <f t="shared" si="2"/>
        <v>0.90666666666666673</v>
      </c>
      <c r="J8" s="1" t="str">
        <f t="shared" si="3"/>
        <v>Ist division</v>
      </c>
    </row>
    <row r="9" spans="1:10" x14ac:dyDescent="0.25">
      <c r="A9" s="1">
        <v>8</v>
      </c>
      <c r="B9" s="1" t="s">
        <v>15</v>
      </c>
      <c r="C9" s="1" t="s">
        <v>22</v>
      </c>
      <c r="D9" s="1" t="str">
        <f t="shared" si="0"/>
        <v>Alexa patel</v>
      </c>
      <c r="E9" s="1">
        <v>25</v>
      </c>
      <c r="F9" s="1">
        <v>56</v>
      </c>
      <c r="G9" s="1">
        <v>45</v>
      </c>
      <c r="H9" s="1" t="str">
        <f t="shared" si="1"/>
        <v>Fail</v>
      </c>
      <c r="I9" s="2" t="str">
        <f t="shared" si="2"/>
        <v>Fail</v>
      </c>
      <c r="J9" s="1" t="str">
        <f t="shared" si="3"/>
        <v>Fail</v>
      </c>
    </row>
    <row r="10" spans="1:10" x14ac:dyDescent="0.25">
      <c r="A10" s="1">
        <v>9</v>
      </c>
      <c r="B10" s="1" t="s">
        <v>16</v>
      </c>
      <c r="C10" s="1" t="s">
        <v>24</v>
      </c>
      <c r="D10" s="1" t="str">
        <f t="shared" si="0"/>
        <v>Joseph j</v>
      </c>
      <c r="E10" s="1">
        <v>75</v>
      </c>
      <c r="F10" s="1">
        <v>65</v>
      </c>
      <c r="G10" s="1">
        <v>69</v>
      </c>
      <c r="H10" s="1" t="str">
        <f t="shared" si="1"/>
        <v>Pass</v>
      </c>
      <c r="I10" s="2">
        <f t="shared" si="2"/>
        <v>0.69666666666666677</v>
      </c>
      <c r="J10" s="1" t="str">
        <f t="shared" si="3"/>
        <v>Ist division</v>
      </c>
    </row>
    <row r="11" spans="1:10" x14ac:dyDescent="0.25">
      <c r="A11" s="1">
        <v>10</v>
      </c>
      <c r="B11" s="1" t="s">
        <v>17</v>
      </c>
      <c r="C11" s="1" t="s">
        <v>25</v>
      </c>
      <c r="D11" s="1" t="str">
        <f t="shared" si="0"/>
        <v>arun chawda</v>
      </c>
      <c r="E11" s="1">
        <v>78</v>
      </c>
      <c r="F11" s="1">
        <v>56</v>
      </c>
      <c r="G11" s="1">
        <v>85</v>
      </c>
      <c r="H11" s="1" t="str">
        <f t="shared" si="1"/>
        <v>Pass</v>
      </c>
      <c r="I11" s="2">
        <f t="shared" si="2"/>
        <v>0.73</v>
      </c>
      <c r="J11" s="1" t="str">
        <f t="shared" si="3"/>
        <v>Ist division</v>
      </c>
    </row>
    <row r="13" spans="1:10" x14ac:dyDescent="0.25">
      <c r="D13" s="1" t="s">
        <v>28</v>
      </c>
      <c r="H13" s="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2015-06-05T18:17:20Z</dcterms:created>
  <dcterms:modified xsi:type="dcterms:W3CDTF">2026-07-06T06:05:14Z</dcterms:modified>
</cp:coreProperties>
</file>